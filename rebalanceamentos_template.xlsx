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Gabriel\Tematica\"/>
    </mc:Choice>
  </mc:AlternateContent>
  <xr:revisionPtr revIDLastSave="0" documentId="13_ncr:1_{D0CAC9AC-8181-41F8-B03C-1CFD634AF72E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Ações" sheetId="1" r:id="rId1"/>
    <sheet name="Dividendos" sheetId="2" r:id="rId2"/>
    <sheet name="Instru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2" l="1"/>
  <c r="X20" i="2"/>
  <c r="Y30" i="1"/>
  <c r="D20" i="2"/>
  <c r="O30" i="1" l="1"/>
  <c r="AC30" i="1" l="1"/>
  <c r="AB30" i="1"/>
  <c r="AA30" i="1"/>
  <c r="Z30" i="1"/>
  <c r="X30" i="1"/>
  <c r="W30" i="1"/>
  <c r="V30" i="1"/>
  <c r="U30" i="1"/>
  <c r="T30" i="1"/>
  <c r="S30" i="1"/>
  <c r="R30" i="1"/>
  <c r="Q30" i="1"/>
  <c r="P30" i="1"/>
  <c r="N30" i="1"/>
  <c r="M30" i="1"/>
  <c r="L30" i="1"/>
  <c r="K30" i="1"/>
  <c r="J30" i="1"/>
  <c r="I30" i="1"/>
  <c r="H30" i="1"/>
  <c r="G30" i="1"/>
  <c r="F30" i="1"/>
  <c r="E30" i="1"/>
  <c r="D30" i="1"/>
  <c r="AC20" i="2"/>
  <c r="AB20" i="2"/>
  <c r="AA20" i="2"/>
  <c r="Z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</calcChain>
</file>

<file path=xl/sharedStrings.xml><?xml version="1.0" encoding="utf-8"?>
<sst xmlns="http://schemas.openxmlformats.org/spreadsheetml/2006/main" count="231" uniqueCount="145">
  <si>
    <t>HISTÓRICO DE REBALANCEAMENTOS — CARTEIRA DE AÇÕES</t>
  </si>
  <si>
    <t>Preencha o peso (%) de cada ativo em cada mês. Deixe EM BRANCO se o ativo não estava na carteira naquele mês. Valores em azul são entradas manuais. A linha TOTAL deve somar 100% em cada mês ativo.</t>
  </si>
  <si>
    <t>LEGENDA:</t>
  </si>
  <si>
    <t>Entrada manual (azul)</t>
  </si>
  <si>
    <t>Células futuras (cinza)</t>
  </si>
  <si>
    <t>Ticker</t>
  </si>
  <si>
    <t>Empresa</t>
  </si>
  <si>
    <t>Ticker API</t>
  </si>
  <si>
    <t>Jun/2024</t>
  </si>
  <si>
    <t>Jul/2024</t>
  </si>
  <si>
    <t>Ago/2024</t>
  </si>
  <si>
    <t>Set/2024</t>
  </si>
  <si>
    <t>Out/2024</t>
  </si>
  <si>
    <t>Nov/2024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</si>
  <si>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</si>
  <si>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</si>
  <si>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</si>
  <si>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</si>
  <si>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</si>
  <si>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</si>
  <si>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</si>
  <si>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</si>
  <si>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</si>
  <si>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</si>
  <si>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</si>
  <si>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</si>
  <si>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</si>
  <si>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</si>
  <si>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</si>
  <si>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</si>
  <si>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</si>
  <si>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</si>
  <si>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</si>
  <si>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</si>
  <si>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BPAC11</t>
  </si>
  <si>
    <t>Banco BTG Pactual</t>
  </si>
  <si>
    <t>BBAS3</t>
  </si>
  <si>
    <t>Banco do Brasil</t>
  </si>
  <si>
    <t>ITUB4</t>
  </si>
  <si>
    <t>Itaú Unibanco</t>
  </si>
  <si>
    <t>JPMC34</t>
  </si>
  <si>
    <t>BDR JPMorgan</t>
  </si>
  <si>
    <t>CPLE3</t>
  </si>
  <si>
    <t>COPEL</t>
  </si>
  <si>
    <t>EMBJ3</t>
  </si>
  <si>
    <t>Embraer</t>
  </si>
  <si>
    <t>EMBR3</t>
  </si>
  <si>
    <t>WEGE3</t>
  </si>
  <si>
    <t>WEG S.A.</t>
  </si>
  <si>
    <t>GGBR4</t>
  </si>
  <si>
    <t>Gerdau</t>
  </si>
  <si>
    <t>VALE3</t>
  </si>
  <si>
    <t>Vale S.A.</t>
  </si>
  <si>
    <t>AURA33</t>
  </si>
  <si>
    <t>Aura Minerals</t>
  </si>
  <si>
    <t>AXIA3</t>
  </si>
  <si>
    <t>Eletrobras ON</t>
  </si>
  <si>
    <t>ELET3</t>
  </si>
  <si>
    <t>TTEN3</t>
  </si>
  <si>
    <t>Tten Participações</t>
  </si>
  <si>
    <t>CSMG3</t>
  </si>
  <si>
    <t>Copasa</t>
  </si>
  <si>
    <t>IVVB11</t>
  </si>
  <si>
    <t>ETF S&amp;P 500</t>
  </si>
  <si>
    <t>TOTAL</t>
  </si>
  <si>
    <t>← deve somar 100% por coluna</t>
  </si>
  <si>
    <t>💡  Dica: Use Ctrl+F para localizar um ticker. Colunas com total ≠ 100 indicam rebalanceamento incompleto. Meses sem nenhum valor = período sem dados (carteira ainda não existia).</t>
  </si>
  <si>
    <t>HISTÓRICO DE REBALANCEAMENTOS — CARTEIRA DE DIVIDENDOS</t>
  </si>
  <si>
    <t>BBDC4</t>
  </si>
  <si>
    <t>Bradesco PN</t>
  </si>
  <si>
    <t>CXSE3</t>
  </si>
  <si>
    <t>Caixa Seguridade</t>
  </si>
  <si>
    <t>B3SA3</t>
  </si>
  <si>
    <t>B3 S.A.</t>
  </si>
  <si>
    <t>SANB11</t>
  </si>
  <si>
    <t>Santander Brasil</t>
  </si>
  <si>
    <t>NDIV11</t>
  </si>
  <si>
    <t>ETF Dividendos</t>
  </si>
  <si>
    <t>PETR4</t>
  </si>
  <si>
    <t>Petrobras PN</t>
  </si>
  <si>
    <t>AXIA6</t>
  </si>
  <si>
    <t>Eletrobras PNB</t>
  </si>
  <si>
    <t>ELET6</t>
  </si>
  <si>
    <t>INSTRUÇÕES — TEMPLATE DE REBALANCEAMENTOS</t>
  </si>
  <si>
    <t>Registrar o histórico completo de pesos (%) de cada ativo em cada mês.</t>
  </si>
  <si>
    <t>Com esses dados, o dashboard calculará a rentabilidade acumulada real da carteira.</t>
  </si>
  <si>
    <t>Escolha a aba</t>
  </si>
  <si>
    <t>'Ações' ou 'Dividendos' conforme a carteira.</t>
  </si>
  <si>
    <t>Meses nas colunas</t>
  </si>
  <si>
    <t>Cada coluna = um mês (Jun/2024 → meses futuros).</t>
  </si>
  <si>
    <t>Tickers nas linhas</t>
  </si>
  <si>
    <t>Cada linha = um ativo. Se surgir ativo novo, use uma linha em branco.</t>
  </si>
  <si>
    <t>Pesos nas células</t>
  </si>
  <si>
    <t>Digite o peso em % sem o símbolo. Ex: 7,14 para 7,14%.</t>
  </si>
  <si>
    <t>Ativo ausente</t>
  </si>
  <si>
    <t>Deixe a célula EM BRANCO se o ativo não estava naquele mês.</t>
  </si>
  <si>
    <t>Validação</t>
  </si>
  <si>
    <t>A linha TOTAL soma automaticamente. Verifique se cada coluna ativa = 100%.</t>
  </si>
  <si>
    <t>Meses futuros</t>
  </si>
  <si>
    <t>Células em cinza = meses ainda não ocorridos. Preencha conforme avança.</t>
  </si>
  <si>
    <t>Texto azul</t>
  </si>
  <si>
    <t>Célula de entrada manual — você preenche.</t>
  </si>
  <si>
    <t>Texto cinza</t>
  </si>
  <si>
    <t>Meses futuros (não preencher ainda).</t>
  </si>
  <si>
    <t>Fundo amarelo claro</t>
  </si>
  <si>
    <t>Dica / aviso.</t>
  </si>
  <si>
    <t>Fundo azul total</t>
  </si>
  <si>
    <t>Linha de soma — não editar.</t>
  </si>
  <si>
    <t>Ticker na carteira = EMBJ3. API usa EMBR3 (Embraer renomeou). Já mapeado.</t>
  </si>
  <si>
    <t>Ticker na carteira = AXIA3. API usa ELET3 (Eletrobras ON). Já mapeado.</t>
  </si>
  <si>
    <t>Ticker na carteira = AXIA6. API usa ELET6 (Eletrobras PNB). Já mapeado.</t>
  </si>
  <si>
    <t>Salve o arquivo</t>
  </si>
  <si>
    <t>Salve como rebalanceamentos.xlsx nesta mesma pasta.</t>
  </si>
  <si>
    <t>Rode serve.py</t>
  </si>
  <si>
    <t>python serve.py  — ele lerá o Excel e usará os pesos corretos por mês.</t>
  </si>
  <si>
    <t>Atualize mensalmente</t>
  </si>
  <si>
    <t>Ao rebalancear, acrescente os novos pesos na coluna do mês atual.</t>
  </si>
  <si>
    <t>BPAN4</t>
  </si>
  <si>
    <t>Banco Pan</t>
  </si>
  <si>
    <t>SUZB3</t>
  </si>
  <si>
    <t>Suzano</t>
  </si>
  <si>
    <t>CPLE6</t>
  </si>
  <si>
    <t>Copel</t>
  </si>
  <si>
    <t>IGTI11</t>
  </si>
  <si>
    <t>Iguatemi</t>
  </si>
  <si>
    <t>Wege</t>
  </si>
  <si>
    <t>ARZZ3</t>
  </si>
  <si>
    <t>Arezzo</t>
  </si>
  <si>
    <t>SMAL11</t>
  </si>
  <si>
    <t>Small Caps Indice</t>
  </si>
  <si>
    <t>Banco Bradesco</t>
  </si>
  <si>
    <t>JBSS32</t>
  </si>
  <si>
    <t>JBBS3</t>
  </si>
  <si>
    <t>JBS</t>
  </si>
  <si>
    <t>AZZA3</t>
  </si>
  <si>
    <t>Azas</t>
  </si>
  <si>
    <t>CPLE5</t>
  </si>
  <si>
    <t>CPFE3</t>
  </si>
  <si>
    <t>CPFL</t>
  </si>
  <si>
    <t>BBSE3</t>
  </si>
  <si>
    <t>BB Seguridade</t>
  </si>
  <si>
    <t>Eneva</t>
  </si>
  <si>
    <t>ENEV3</t>
  </si>
  <si>
    <t>RADL3</t>
  </si>
  <si>
    <t>Raia Drogasil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</si>
</sst>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404040"/>
      <name val="Arial"/>
      <family val="2"/>
    </font>
    <font>
      <b/>
      <sz val="9"/>
      <name val="Arial"/>
      <family val="2"/>
    </font>
    <font>
      <sz val="11"/>
      <color rgb="FF0000FF"/>
      <name val="Arial"/>
      <family val="2"/>
    </font>
    <font>
      <sz val="9"/>
      <color rgb="FF888888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sz val="11"/>
      <color rgb="FFAAAAAA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i/>
      <sz val="9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9EEF6"/>
      </patternFill>
    </fill>
    <fill>
      <patternFill patternType="solid">
        <fgColor rgb="FFEEF4FF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11" fillId="7" borderId="0" xfId="0" applyFont="1" applyFill="1"/>
    <xf numFmtId="0" fontId="9" fillId="7" borderId="0" xfId="0" applyFont="1" applyFill="1"/>
    <xf numFmtId="0" fontId="0" fillId="7" borderId="0" xfId="0" applyFill="1"/>
    <xf numFmtId="164" fontId="12" fillId="7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zoomScale="85" zoomScaleNormal="85" workbookViewId="0">
      <pane xSplit="3" ySplit="4" topLeftCell="L17" activePane="bottomRight" state="frozen"/>
      <selection pane="topRight"/>
      <selection pane="bottomLeft"/>
      <selection pane="bottomRight" activeCell="Y30" sqref="Y30"/>
    </sheetView>
  </sheetViews>
  <sheetFormatPr defaultRowHeight="15" x14ac:dyDescent="0.25"/>
  <cols>
    <col min="1" max="1" width="11" customWidth="1"/>
    <col min="2" max="2" width="22" customWidth="1"/>
    <col min="3" max="3" width="11" customWidth="1"/>
    <col min="4" max="16" width="9" customWidth="1"/>
    <col min="17" max="17" width="13.7109375" customWidth="1"/>
    <col min="18" max="29" width="9" customWidth="1"/>
  </cols>
  <sheetData>
    <row r="1" spans="1:29" ht="30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7.9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8" customHeight="1" x14ac:dyDescent="0.25">
      <c r="A3" s="1" t="s">
        <v>2</v>
      </c>
      <c r="B3" s="2" t="s">
        <v>3</v>
      </c>
      <c r="C3" s="3" t="s">
        <v>4</v>
      </c>
    </row>
    <row r="4" spans="1:29" ht="3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</row>
    <row r="5" spans="1:29" ht="18" customHeight="1" x14ac:dyDescent="0.25">
      <c r="A5" s="5" t="s">
        <v>34</v>
      </c>
      <c r="B5" s="6" t="s">
        <v>35</v>
      </c>
      <c r="C5" s="7" t="s">
        <v>34</v>
      </c>
      <c r="D5" s="8">
        <v>7</v>
      </c>
      <c r="E5" s="8">
        <v>8</v>
      </c>
      <c r="F5" s="8">
        <v>8</v>
      </c>
      <c r="G5" s="8">
        <v>8</v>
      </c>
      <c r="H5" s="8">
        <v>8</v>
      </c>
      <c r="I5" s="8">
        <v>8</v>
      </c>
      <c r="J5" s="8">
        <v>8</v>
      </c>
      <c r="K5" s="8">
        <v>8</v>
      </c>
      <c r="L5" s="8">
        <v>8</v>
      </c>
      <c r="M5" s="8">
        <v>8</v>
      </c>
      <c r="N5" s="8">
        <v>8</v>
      </c>
      <c r="O5" s="8">
        <v>8</v>
      </c>
      <c r="P5" s="8">
        <v>8</v>
      </c>
      <c r="Q5" s="8">
        <v>8</v>
      </c>
      <c r="R5" s="8">
        <v>8</v>
      </c>
      <c r="S5" s="8">
        <v>5</v>
      </c>
      <c r="T5" s="8">
        <v>5</v>
      </c>
      <c r="U5" s="8">
        <v>5</v>
      </c>
      <c r="V5" s="8">
        <v>5</v>
      </c>
      <c r="W5" s="8">
        <v>5</v>
      </c>
      <c r="X5" s="8">
        <v>5</v>
      </c>
      <c r="Y5" s="8">
        <v>5</v>
      </c>
      <c r="Z5" s="9"/>
      <c r="AA5" s="9"/>
      <c r="AB5" s="9"/>
      <c r="AC5" s="9"/>
    </row>
    <row r="6" spans="1:29" ht="18" customHeight="1" x14ac:dyDescent="0.25">
      <c r="A6" s="5" t="s">
        <v>36</v>
      </c>
      <c r="B6" s="6" t="s">
        <v>37</v>
      </c>
      <c r="C6" s="7" t="s">
        <v>36</v>
      </c>
      <c r="D6" s="8">
        <v>10</v>
      </c>
      <c r="E6" s="8">
        <v>5</v>
      </c>
      <c r="F6" s="8">
        <v>5</v>
      </c>
      <c r="G6" s="8">
        <v>5</v>
      </c>
      <c r="H6" s="8">
        <v>5</v>
      </c>
      <c r="I6" s="8">
        <v>5</v>
      </c>
      <c r="J6" s="8">
        <v>5</v>
      </c>
      <c r="K6" s="8">
        <v>5</v>
      </c>
      <c r="L6" s="8">
        <v>5</v>
      </c>
      <c r="M6" s="8">
        <v>5</v>
      </c>
      <c r="N6" s="8">
        <v>5</v>
      </c>
      <c r="O6" s="8">
        <v>5</v>
      </c>
      <c r="P6" s="8">
        <v>5</v>
      </c>
      <c r="Q6" s="8">
        <v>5</v>
      </c>
      <c r="R6" s="8">
        <v>5</v>
      </c>
      <c r="S6" s="8">
        <v>5</v>
      </c>
      <c r="T6" s="8">
        <v>5</v>
      </c>
      <c r="U6" s="8">
        <v>5</v>
      </c>
      <c r="V6" s="8">
        <v>5</v>
      </c>
      <c r="W6" s="8">
        <v>5</v>
      </c>
      <c r="X6" s="8">
        <v>5</v>
      </c>
      <c r="Y6" s="8">
        <v>5</v>
      </c>
      <c r="Z6" s="9"/>
      <c r="AA6" s="9"/>
      <c r="AB6" s="9"/>
      <c r="AC6" s="9"/>
    </row>
    <row r="7" spans="1:29" ht="18" customHeight="1" x14ac:dyDescent="0.25">
      <c r="A7" s="5" t="s">
        <v>38</v>
      </c>
      <c r="B7" s="6" t="s">
        <v>39</v>
      </c>
      <c r="C7" s="7" t="s">
        <v>38</v>
      </c>
      <c r="D7" s="8"/>
      <c r="E7" s="8"/>
      <c r="F7" s="8"/>
      <c r="G7" s="8"/>
      <c r="H7" s="8">
        <v>10</v>
      </c>
      <c r="I7" s="8">
        <v>12</v>
      </c>
      <c r="J7" s="8">
        <v>12</v>
      </c>
      <c r="K7" s="8">
        <v>12</v>
      </c>
      <c r="L7" s="8">
        <v>12</v>
      </c>
      <c r="M7" s="8">
        <v>12</v>
      </c>
      <c r="N7" s="8">
        <v>12</v>
      </c>
      <c r="O7" s="8">
        <v>12</v>
      </c>
      <c r="P7" s="8">
        <v>12</v>
      </c>
      <c r="Q7" s="8">
        <v>12</v>
      </c>
      <c r="R7" s="8">
        <v>12</v>
      </c>
      <c r="S7" s="8">
        <v>12</v>
      </c>
      <c r="T7" s="8">
        <v>12</v>
      </c>
      <c r="U7" s="8">
        <v>12</v>
      </c>
      <c r="V7" s="8">
        <v>12</v>
      </c>
      <c r="W7" s="8">
        <v>12</v>
      </c>
      <c r="X7" s="8">
        <v>12</v>
      </c>
      <c r="Y7" s="8">
        <v>5</v>
      </c>
      <c r="Z7" s="9"/>
      <c r="AA7" s="9"/>
      <c r="AB7" s="9"/>
      <c r="AC7" s="9"/>
    </row>
    <row r="8" spans="1:29" ht="18" customHeight="1" x14ac:dyDescent="0.25">
      <c r="A8" s="5" t="s">
        <v>40</v>
      </c>
      <c r="B8" s="6" t="s">
        <v>41</v>
      </c>
      <c r="C8" s="7" t="s">
        <v>40</v>
      </c>
      <c r="D8" s="8"/>
      <c r="E8" s="8"/>
      <c r="F8" s="8"/>
      <c r="G8" s="8"/>
      <c r="H8" s="8"/>
      <c r="I8" s="8"/>
      <c r="J8" s="8"/>
      <c r="K8" s="10">
        <v>5</v>
      </c>
      <c r="L8" s="10">
        <v>5</v>
      </c>
      <c r="M8" s="10">
        <v>5</v>
      </c>
      <c r="N8" s="10">
        <v>5</v>
      </c>
      <c r="O8" s="8">
        <v>5</v>
      </c>
      <c r="P8" s="8">
        <v>5</v>
      </c>
      <c r="Q8" s="8">
        <v>5</v>
      </c>
      <c r="R8" s="8">
        <v>5</v>
      </c>
      <c r="S8" s="8">
        <v>5</v>
      </c>
      <c r="T8" s="8">
        <v>5</v>
      </c>
      <c r="U8" s="8">
        <v>5</v>
      </c>
      <c r="V8" s="8">
        <v>5</v>
      </c>
      <c r="W8" s="8">
        <v>5</v>
      </c>
      <c r="X8" s="8">
        <v>5</v>
      </c>
      <c r="Y8" s="8">
        <v>5</v>
      </c>
      <c r="Z8" s="9"/>
      <c r="AA8" s="9"/>
      <c r="AB8" s="9"/>
      <c r="AC8" s="9"/>
    </row>
    <row r="9" spans="1:29" ht="18" customHeight="1" x14ac:dyDescent="0.25">
      <c r="A9" s="5" t="s">
        <v>42</v>
      </c>
      <c r="B9" s="6" t="s">
        <v>43</v>
      </c>
      <c r="C9" s="7" t="s">
        <v>42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>
        <v>8</v>
      </c>
      <c r="Y9" s="8">
        <v>10</v>
      </c>
      <c r="Z9" s="9"/>
      <c r="AA9" s="9"/>
      <c r="AB9" s="9"/>
      <c r="AC9" s="9"/>
    </row>
    <row r="10" spans="1:29" ht="18" customHeight="1" x14ac:dyDescent="0.25">
      <c r="A10" s="5" t="s">
        <v>44</v>
      </c>
      <c r="B10" s="6" t="s">
        <v>45</v>
      </c>
      <c r="C10" s="7" t="s">
        <v>46</v>
      </c>
      <c r="D10" s="8"/>
      <c r="E10" s="8"/>
      <c r="F10" s="8"/>
      <c r="G10" s="8"/>
      <c r="H10" s="8"/>
      <c r="I10" s="8"/>
      <c r="J10" s="8">
        <v>7</v>
      </c>
      <c r="K10" s="8">
        <v>7</v>
      </c>
      <c r="L10" s="8">
        <v>7</v>
      </c>
      <c r="M10" s="8">
        <v>7</v>
      </c>
      <c r="N10" s="8">
        <v>10</v>
      </c>
      <c r="O10" s="8">
        <v>10</v>
      </c>
      <c r="P10" s="8">
        <v>10</v>
      </c>
      <c r="Q10" s="8">
        <v>10</v>
      </c>
      <c r="R10" s="8">
        <v>10</v>
      </c>
      <c r="S10" s="8">
        <v>10</v>
      </c>
      <c r="T10" s="8">
        <v>10</v>
      </c>
      <c r="U10" s="8">
        <v>10</v>
      </c>
      <c r="V10" s="8">
        <v>10</v>
      </c>
      <c r="W10" s="8">
        <v>10</v>
      </c>
      <c r="X10" s="8">
        <v>10</v>
      </c>
      <c r="Y10" s="8">
        <v>10</v>
      </c>
      <c r="Z10" s="9"/>
      <c r="AA10" s="9"/>
      <c r="AB10" s="9"/>
      <c r="AC10" s="9"/>
    </row>
    <row r="11" spans="1:29" ht="18" customHeight="1" x14ac:dyDescent="0.25">
      <c r="A11" s="5" t="s">
        <v>47</v>
      </c>
      <c r="B11" s="6" t="s">
        <v>48</v>
      </c>
      <c r="C11" s="7" t="s">
        <v>47</v>
      </c>
      <c r="D11" s="8">
        <v>10</v>
      </c>
      <c r="E11" s="8">
        <v>10</v>
      </c>
      <c r="F11" s="8">
        <v>10</v>
      </c>
      <c r="G11" s="8">
        <v>10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  <c r="N11" s="8">
        <v>10</v>
      </c>
      <c r="O11" s="8">
        <v>5</v>
      </c>
      <c r="P11" s="8">
        <v>5</v>
      </c>
      <c r="Q11" s="8">
        <v>5</v>
      </c>
      <c r="R11" s="8">
        <v>5</v>
      </c>
      <c r="S11" s="8">
        <v>5</v>
      </c>
      <c r="T11" s="8">
        <v>5</v>
      </c>
      <c r="U11" s="8">
        <v>5</v>
      </c>
      <c r="V11" s="8">
        <v>5</v>
      </c>
      <c r="W11" s="8">
        <v>5</v>
      </c>
      <c r="X11" s="8">
        <v>5</v>
      </c>
      <c r="Y11" s="8"/>
      <c r="Z11" s="9"/>
      <c r="AA11" s="9"/>
      <c r="AB11" s="9"/>
      <c r="AC11" s="9"/>
    </row>
    <row r="12" spans="1:29" ht="18" customHeight="1" x14ac:dyDescent="0.25">
      <c r="A12" s="5" t="s">
        <v>49</v>
      </c>
      <c r="B12" s="6" t="s">
        <v>50</v>
      </c>
      <c r="C12" s="7" t="s">
        <v>49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>
        <v>5</v>
      </c>
      <c r="P12" s="8">
        <v>5</v>
      </c>
      <c r="Q12" s="8">
        <v>5</v>
      </c>
      <c r="R12" s="8">
        <v>5</v>
      </c>
      <c r="S12" s="8">
        <v>5</v>
      </c>
      <c r="T12" s="8">
        <v>5</v>
      </c>
      <c r="U12" s="8">
        <v>5</v>
      </c>
      <c r="V12" s="8">
        <v>5</v>
      </c>
      <c r="W12" s="8">
        <v>5</v>
      </c>
      <c r="X12" s="8">
        <v>5</v>
      </c>
      <c r="Y12" s="8">
        <v>5</v>
      </c>
      <c r="Z12" s="9"/>
      <c r="AA12" s="9"/>
      <c r="AB12" s="9"/>
      <c r="AC12" s="9"/>
    </row>
    <row r="13" spans="1:29" ht="18" customHeight="1" x14ac:dyDescent="0.25">
      <c r="A13" s="5" t="s">
        <v>51</v>
      </c>
      <c r="B13" s="6" t="s">
        <v>52</v>
      </c>
      <c r="C13" s="7" t="s">
        <v>51</v>
      </c>
      <c r="D13" s="8">
        <v>10</v>
      </c>
      <c r="E13" s="8">
        <v>10</v>
      </c>
      <c r="F13" s="8">
        <v>10</v>
      </c>
      <c r="G13" s="8">
        <v>10</v>
      </c>
      <c r="H13" s="8">
        <v>10</v>
      </c>
      <c r="I13" s="8">
        <v>10</v>
      </c>
      <c r="J13" s="8">
        <v>10</v>
      </c>
      <c r="K13" s="8">
        <v>10</v>
      </c>
      <c r="L13" s="8">
        <v>10</v>
      </c>
      <c r="M13" s="8">
        <v>10</v>
      </c>
      <c r="N13" s="8">
        <v>12</v>
      </c>
      <c r="O13" s="8">
        <v>12</v>
      </c>
      <c r="P13" s="8">
        <v>12</v>
      </c>
      <c r="Q13" s="8">
        <v>12</v>
      </c>
      <c r="R13" s="8">
        <v>12</v>
      </c>
      <c r="S13" s="8">
        <v>12</v>
      </c>
      <c r="T13" s="8">
        <v>12</v>
      </c>
      <c r="U13" s="8">
        <v>12</v>
      </c>
      <c r="V13" s="8">
        <v>12</v>
      </c>
      <c r="W13" s="8">
        <v>12</v>
      </c>
      <c r="X13" s="8">
        <v>10</v>
      </c>
      <c r="Y13" s="8">
        <v>10</v>
      </c>
      <c r="Z13" s="9"/>
      <c r="AA13" s="9"/>
      <c r="AB13" s="9"/>
      <c r="AC13" s="9"/>
    </row>
    <row r="14" spans="1:29" ht="18" customHeight="1" x14ac:dyDescent="0.25">
      <c r="A14" s="5" t="s">
        <v>53</v>
      </c>
      <c r="B14" s="6" t="s">
        <v>54</v>
      </c>
      <c r="C14" s="7" t="s">
        <v>53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>
        <v>5</v>
      </c>
      <c r="R14" s="8">
        <v>5</v>
      </c>
      <c r="S14" s="8">
        <v>8</v>
      </c>
      <c r="T14" s="8">
        <v>8</v>
      </c>
      <c r="U14" s="8">
        <v>12</v>
      </c>
      <c r="V14" s="8">
        <v>12</v>
      </c>
      <c r="W14" s="8">
        <v>12</v>
      </c>
      <c r="X14" s="8">
        <v>10</v>
      </c>
      <c r="Y14" s="8">
        <v>10</v>
      </c>
      <c r="Z14" s="9"/>
      <c r="AA14" s="9"/>
      <c r="AB14" s="9"/>
      <c r="AC14" s="9"/>
    </row>
    <row r="15" spans="1:29" ht="18" customHeight="1" x14ac:dyDescent="0.25">
      <c r="A15" s="5" t="s">
        <v>55</v>
      </c>
      <c r="B15" s="6" t="s">
        <v>56</v>
      </c>
      <c r="C15" s="7" t="s">
        <v>57</v>
      </c>
      <c r="D15" s="10">
        <v>8</v>
      </c>
      <c r="E15" s="10">
        <v>8</v>
      </c>
      <c r="F15" s="10">
        <v>8</v>
      </c>
      <c r="G15" s="10">
        <v>8</v>
      </c>
      <c r="H15" s="10">
        <v>8</v>
      </c>
      <c r="I15" s="8">
        <v>8</v>
      </c>
      <c r="J15" s="8">
        <v>8</v>
      </c>
      <c r="K15" s="8">
        <v>8</v>
      </c>
      <c r="L15" s="8">
        <v>8</v>
      </c>
      <c r="M15" s="8">
        <v>8</v>
      </c>
      <c r="N15" s="8">
        <v>8</v>
      </c>
      <c r="O15" s="8"/>
      <c r="P15" s="8"/>
      <c r="Q15" s="8"/>
      <c r="R15" s="8"/>
      <c r="S15" s="8">
        <v>5</v>
      </c>
      <c r="T15" s="8">
        <v>5</v>
      </c>
      <c r="U15" s="8">
        <v>5</v>
      </c>
      <c r="V15" s="8">
        <v>5</v>
      </c>
      <c r="W15" s="8">
        <v>5</v>
      </c>
      <c r="X15" s="8">
        <v>5</v>
      </c>
      <c r="Y15" s="8">
        <v>5</v>
      </c>
      <c r="Z15" s="9"/>
      <c r="AA15" s="9"/>
      <c r="AB15" s="9"/>
      <c r="AC15" s="9"/>
    </row>
    <row r="16" spans="1:29" ht="18" customHeight="1" x14ac:dyDescent="0.25">
      <c r="A16" s="5" t="s">
        <v>58</v>
      </c>
      <c r="B16" s="6" t="s">
        <v>59</v>
      </c>
      <c r="C16" s="7" t="s">
        <v>58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>
        <v>6</v>
      </c>
      <c r="V16" s="8">
        <v>6</v>
      </c>
      <c r="W16" s="8">
        <v>6</v>
      </c>
      <c r="X16" s="8">
        <v>6</v>
      </c>
      <c r="Y16" s="8">
        <v>6</v>
      </c>
      <c r="Z16" s="9"/>
      <c r="AA16" s="9"/>
      <c r="AB16" s="9"/>
      <c r="AC16" s="9"/>
    </row>
    <row r="17" spans="1:29" ht="18" customHeight="1" x14ac:dyDescent="0.25">
      <c r="A17" s="5" t="s">
        <v>60</v>
      </c>
      <c r="B17" s="6" t="s">
        <v>61</v>
      </c>
      <c r="C17" s="7" t="s">
        <v>60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v>4</v>
      </c>
      <c r="Y17" s="8">
        <v>10</v>
      </c>
      <c r="Z17" s="9"/>
      <c r="AA17" s="9"/>
      <c r="AB17" s="9"/>
      <c r="AC17" s="9"/>
    </row>
    <row r="18" spans="1:29" ht="18" customHeight="1" x14ac:dyDescent="0.25">
      <c r="A18" s="5" t="s">
        <v>62</v>
      </c>
      <c r="B18" s="6" t="s">
        <v>63</v>
      </c>
      <c r="C18" s="7" t="s">
        <v>62</v>
      </c>
      <c r="D18" s="8">
        <v>15</v>
      </c>
      <c r="E18" s="8">
        <v>15</v>
      </c>
      <c r="F18" s="8">
        <v>15</v>
      </c>
      <c r="G18" s="8">
        <v>15</v>
      </c>
      <c r="H18" s="8">
        <v>15</v>
      </c>
      <c r="I18" s="8">
        <v>17</v>
      </c>
      <c r="J18" s="8">
        <v>17</v>
      </c>
      <c r="K18" s="8">
        <v>15</v>
      </c>
      <c r="L18" s="8">
        <v>15</v>
      </c>
      <c r="M18" s="8">
        <v>15</v>
      </c>
      <c r="N18" s="8">
        <v>15</v>
      </c>
      <c r="O18" s="8">
        <v>15</v>
      </c>
      <c r="P18" s="8">
        <v>15</v>
      </c>
      <c r="Q18" s="8">
        <v>10</v>
      </c>
      <c r="R18" s="8">
        <v>10</v>
      </c>
      <c r="S18" s="8">
        <v>10</v>
      </c>
      <c r="T18" s="8">
        <v>10</v>
      </c>
      <c r="U18" s="8">
        <v>10</v>
      </c>
      <c r="V18" s="8">
        <v>10</v>
      </c>
      <c r="W18" s="8">
        <v>10</v>
      </c>
      <c r="X18" s="8">
        <v>10</v>
      </c>
      <c r="Y18" s="8">
        <v>10</v>
      </c>
      <c r="Z18" s="9"/>
      <c r="AA18" s="9"/>
      <c r="AB18" s="9"/>
      <c r="AC18" s="9"/>
    </row>
    <row r="19" spans="1:29" ht="18" customHeight="1" x14ac:dyDescent="0.25">
      <c r="A19" s="6" t="s">
        <v>117</v>
      </c>
      <c r="B19" s="6" t="s">
        <v>118</v>
      </c>
      <c r="C19" s="7" t="s">
        <v>117</v>
      </c>
      <c r="D19" s="10">
        <v>5</v>
      </c>
      <c r="E19" s="10">
        <v>5</v>
      </c>
      <c r="F19" s="10">
        <v>5</v>
      </c>
      <c r="G19" s="10">
        <v>5</v>
      </c>
      <c r="H19" s="10">
        <v>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9"/>
      <c r="AA19" s="9"/>
      <c r="AB19" s="9"/>
      <c r="AC19" s="9"/>
    </row>
    <row r="20" spans="1:29" ht="18" customHeight="1" x14ac:dyDescent="0.25">
      <c r="A20" s="6" t="s">
        <v>119</v>
      </c>
      <c r="B20" s="6" t="s">
        <v>120</v>
      </c>
      <c r="C20" s="7" t="s">
        <v>119</v>
      </c>
      <c r="D20" s="10">
        <v>5</v>
      </c>
      <c r="E20" s="10">
        <v>5</v>
      </c>
      <c r="F20" s="10">
        <v>5</v>
      </c>
      <c r="G20" s="10">
        <v>5</v>
      </c>
      <c r="H20" s="10">
        <v>5</v>
      </c>
      <c r="I20" s="10">
        <v>5</v>
      </c>
      <c r="J20" s="10">
        <v>5</v>
      </c>
      <c r="K20" s="10">
        <v>5</v>
      </c>
      <c r="L20" s="10">
        <v>5</v>
      </c>
      <c r="M20" s="10">
        <v>5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9"/>
      <c r="AA20" s="9"/>
      <c r="AB20" s="9"/>
      <c r="AC20" s="9"/>
    </row>
    <row r="21" spans="1:29" ht="18" customHeight="1" x14ac:dyDescent="0.25">
      <c r="A21" s="6" t="s">
        <v>121</v>
      </c>
      <c r="B21" s="6" t="s">
        <v>122</v>
      </c>
      <c r="C21" s="7" t="s">
        <v>121</v>
      </c>
      <c r="D21" s="10">
        <v>7</v>
      </c>
      <c r="E21" s="10">
        <v>7</v>
      </c>
      <c r="F21" s="10">
        <v>7</v>
      </c>
      <c r="G21" s="10">
        <v>7</v>
      </c>
      <c r="H21" s="10">
        <v>7</v>
      </c>
      <c r="I21" s="10">
        <v>8</v>
      </c>
      <c r="J21" s="10">
        <v>8</v>
      </c>
      <c r="K21" s="10">
        <v>8</v>
      </c>
      <c r="L21" s="10">
        <v>8</v>
      </c>
      <c r="M21" s="10">
        <v>8</v>
      </c>
      <c r="N21" s="10">
        <v>8</v>
      </c>
      <c r="O21" s="10">
        <v>8</v>
      </c>
      <c r="P21" s="10">
        <v>8</v>
      </c>
      <c r="Q21" s="10">
        <v>8</v>
      </c>
      <c r="R21" s="10">
        <v>8</v>
      </c>
      <c r="S21" s="10">
        <v>8</v>
      </c>
      <c r="T21" s="10">
        <v>8</v>
      </c>
      <c r="U21" s="10">
        <v>8</v>
      </c>
      <c r="V21" s="10">
        <v>8</v>
      </c>
      <c r="W21" s="10"/>
      <c r="X21" s="10"/>
      <c r="Y21" s="10"/>
      <c r="Z21" s="9"/>
      <c r="AA21" s="9"/>
      <c r="AB21" s="9"/>
      <c r="AC21" s="9"/>
    </row>
    <row r="22" spans="1:29" ht="18" customHeight="1" x14ac:dyDescent="0.25">
      <c r="A22" s="6" t="s">
        <v>123</v>
      </c>
      <c r="B22" s="6" t="s">
        <v>124</v>
      </c>
      <c r="C22" s="7" t="s">
        <v>123</v>
      </c>
      <c r="D22" s="10">
        <v>7</v>
      </c>
      <c r="E22" s="10">
        <v>7</v>
      </c>
      <c r="F22" s="10">
        <v>7</v>
      </c>
      <c r="G22" s="10">
        <v>7</v>
      </c>
      <c r="H22" s="10">
        <v>7</v>
      </c>
      <c r="I22" s="10">
        <v>7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9"/>
      <c r="AA22" s="9"/>
      <c r="AB22" s="9"/>
      <c r="AC22" s="9"/>
    </row>
    <row r="23" spans="1:29" ht="18" customHeight="1" x14ac:dyDescent="0.25">
      <c r="A23" s="6" t="s">
        <v>126</v>
      </c>
      <c r="B23" s="6" t="s">
        <v>127</v>
      </c>
      <c r="C23" s="7" t="s">
        <v>126</v>
      </c>
      <c r="D23" s="10">
        <v>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9"/>
      <c r="AA23" s="9"/>
      <c r="AB23" s="9"/>
      <c r="AC23" s="9"/>
    </row>
    <row r="24" spans="1:29" ht="18" customHeight="1" x14ac:dyDescent="0.25">
      <c r="A24" s="6" t="s">
        <v>128</v>
      </c>
      <c r="B24" s="6" t="s">
        <v>129</v>
      </c>
      <c r="C24" s="7" t="s">
        <v>128</v>
      </c>
      <c r="D24" s="10">
        <v>10</v>
      </c>
      <c r="E24" s="10">
        <v>10</v>
      </c>
      <c r="F24" s="10">
        <v>10</v>
      </c>
      <c r="G24" s="10">
        <v>10</v>
      </c>
      <c r="H24" s="10">
        <v>10</v>
      </c>
      <c r="I24" s="10">
        <v>5</v>
      </c>
      <c r="J24" s="10">
        <v>5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9"/>
      <c r="AA24" s="9"/>
      <c r="AB24" s="9"/>
      <c r="AC24" s="9"/>
    </row>
    <row r="25" spans="1:29" ht="18" customHeight="1" x14ac:dyDescent="0.25">
      <c r="A25" s="6" t="s">
        <v>68</v>
      </c>
      <c r="B25" s="6" t="s">
        <v>130</v>
      </c>
      <c r="C25" s="7" t="s">
        <v>68</v>
      </c>
      <c r="D25" s="10"/>
      <c r="E25" s="10">
        <v>10</v>
      </c>
      <c r="F25" s="10">
        <v>10</v>
      </c>
      <c r="G25" s="10">
        <v>10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9"/>
      <c r="AA25" s="9"/>
      <c r="AB25" s="9"/>
      <c r="AC25" s="9"/>
    </row>
    <row r="26" spans="1:29" ht="18" customHeight="1" x14ac:dyDescent="0.25">
      <c r="A26" s="6" t="s">
        <v>131</v>
      </c>
      <c r="B26" s="6" t="s">
        <v>133</v>
      </c>
      <c r="C26" s="7" t="s">
        <v>132</v>
      </c>
      <c r="D26" s="10"/>
      <c r="E26" s="10"/>
      <c r="F26" s="10"/>
      <c r="G26" s="10"/>
      <c r="H26" s="10"/>
      <c r="I26" s="10">
        <v>5</v>
      </c>
      <c r="J26" s="10">
        <v>5</v>
      </c>
      <c r="K26" s="10">
        <v>7</v>
      </c>
      <c r="L26" s="10">
        <v>7</v>
      </c>
      <c r="M26" s="10">
        <v>7</v>
      </c>
      <c r="N26" s="10">
        <v>7</v>
      </c>
      <c r="O26" s="10">
        <v>10</v>
      </c>
      <c r="P26" s="10">
        <v>10</v>
      </c>
      <c r="Q26" s="10">
        <v>10</v>
      </c>
      <c r="R26" s="10">
        <v>10</v>
      </c>
      <c r="S26" s="10">
        <v>10</v>
      </c>
      <c r="T26" s="10">
        <v>10</v>
      </c>
      <c r="U26" s="10"/>
      <c r="V26" s="10"/>
      <c r="W26" s="10"/>
      <c r="X26" s="10"/>
      <c r="Y26" s="10"/>
      <c r="Z26" s="9"/>
      <c r="AA26" s="9"/>
      <c r="AB26" s="9"/>
      <c r="AC26" s="9"/>
    </row>
    <row r="27" spans="1:29" ht="18" customHeight="1" x14ac:dyDescent="0.25">
      <c r="A27" s="6" t="s">
        <v>134</v>
      </c>
      <c r="B27" s="6" t="s">
        <v>135</v>
      </c>
      <c r="C27" s="7" t="s">
        <v>134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>
        <v>5</v>
      </c>
      <c r="P27" s="10">
        <v>5</v>
      </c>
      <c r="Q27" s="10">
        <v>5</v>
      </c>
      <c r="R27" s="10">
        <v>5</v>
      </c>
      <c r="S27" s="10"/>
      <c r="T27" s="10"/>
      <c r="U27" s="10"/>
      <c r="V27" s="10"/>
      <c r="W27" s="10"/>
      <c r="X27" s="10"/>
      <c r="Y27" s="10"/>
      <c r="Z27" s="9"/>
      <c r="AA27" s="9"/>
      <c r="AB27" s="9"/>
      <c r="AC27" s="9"/>
    </row>
    <row r="28" spans="1:29" ht="18" customHeight="1" x14ac:dyDescent="0.25">
      <c r="A28" s="6" t="s">
        <v>136</v>
      </c>
      <c r="B28" s="6" t="s">
        <v>122</v>
      </c>
      <c r="C28" s="7" t="s">
        <v>136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8</v>
      </c>
      <c r="X28" s="10"/>
      <c r="Y28" s="10"/>
      <c r="Z28" s="9"/>
      <c r="AA28" s="9"/>
      <c r="AB28" s="9"/>
      <c r="AC28" s="9"/>
    </row>
    <row r="29" spans="1:29" ht="18" customHeight="1" x14ac:dyDescent="0.25">
      <c r="A29" s="6" t="s">
        <v>143</v>
      </c>
      <c r="B29" s="6" t="s">
        <v>144</v>
      </c>
      <c r="C29" s="7" t="s">
        <v>143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4</v>
      </c>
      <c r="Z29" s="9"/>
      <c r="AA29" s="9"/>
      <c r="AB29" s="9"/>
      <c r="AC29" s="9"/>
    </row>
    <row r="30" spans="1:29" ht="20.100000000000001" customHeight="1" x14ac:dyDescent="0.25">
      <c r="A30" s="11" t="s">
        <v>64</v>
      </c>
      <c r="B30" s="12" t="s">
        <v>65</v>
      </c>
      <c r="C30" s="13"/>
      <c r="D30" s="14">
        <f>IFERROR(SUM(D5:D29),"")</f>
        <v>100</v>
      </c>
      <c r="E30" s="14">
        <f>IFERROR(SUM(E5:E29),"")</f>
        <v>100</v>
      </c>
      <c r="F30" s="14">
        <f>IFERROR(SUM(F5:F29),"")</f>
        <v>100</v>
      </c>
      <c r="G30" s="14">
        <f>IFERROR(SUM(G5:G29),"")</f>
        <v>100</v>
      </c>
      <c r="H30" s="14">
        <f>IFERROR(SUM(H5:H29),"")</f>
        <v>100</v>
      </c>
      <c r="I30" s="14">
        <f>IFERROR(SUM(I5:I29),"")</f>
        <v>100</v>
      </c>
      <c r="J30" s="14">
        <f>IFERROR(SUM(J5:J29),"")</f>
        <v>100</v>
      </c>
      <c r="K30" s="14">
        <f>IFERROR(SUM(K5:K29),"")</f>
        <v>100</v>
      </c>
      <c r="L30" s="14">
        <f>IFERROR(SUM(L5:L29),"")</f>
        <v>100</v>
      </c>
      <c r="M30" s="14">
        <f>IFERROR(SUM(M5:M29),"")</f>
        <v>100</v>
      </c>
      <c r="N30" s="14">
        <f>IFERROR(SUM(N5:N29),"")</f>
        <v>100</v>
      </c>
      <c r="O30" s="14">
        <f>IFERROR(SUM(O5:O29),"")</f>
        <v>100</v>
      </c>
      <c r="P30" s="14">
        <f>IFERROR(SUM(P5:P29),"")</f>
        <v>100</v>
      </c>
      <c r="Q30" s="14">
        <f>IFERROR(SUM(Q5:Q29),"")</f>
        <v>100</v>
      </c>
      <c r="R30" s="14">
        <f>IFERROR(SUM(R5:R29),"")</f>
        <v>100</v>
      </c>
      <c r="S30" s="14">
        <f>IFERROR(SUM(S5:S29),"")</f>
        <v>100</v>
      </c>
      <c r="T30" s="14">
        <f>IFERROR(SUM(T5:T29),"")</f>
        <v>100</v>
      </c>
      <c r="U30" s="14">
        <f>IFERROR(SUM(U5:U29),"")</f>
        <v>100</v>
      </c>
      <c r="V30" s="14">
        <f>IFERROR(SUM(V5:V29),"")</f>
        <v>100</v>
      </c>
      <c r="W30" s="14">
        <f>IFERROR(SUM(W5:W29),"")</f>
        <v>100</v>
      </c>
      <c r="X30" s="14">
        <f>IFERROR(SUM(X5:X29),"")</f>
        <v>100</v>
      </c>
      <c r="Y30" s="14">
        <f t="shared" ref="Y30" si="0">IFERROR(SUM(Y5:Y29),"")</f>
        <v>100</v>
      </c>
      <c r="Z30" s="14">
        <f>IFERROR(SUM(Z5:Z29),"")</f>
        <v>0</v>
      </c>
      <c r="AA30" s="14">
        <f>IFERROR(SUM(AA5:AA29),"")</f>
        <v>0</v>
      </c>
      <c r="AB30" s="14">
        <f>IFERROR(SUM(AB5:AB29),"")</f>
        <v>0</v>
      </c>
      <c r="AC30" s="14">
        <f>IFERROR(SUM(AC5:AC29),"")</f>
        <v>0</v>
      </c>
    </row>
    <row r="31" spans="1:29" ht="20.100000000000001" customHeight="1" x14ac:dyDescent="0.25">
      <c r="A31" s="20" t="s">
        <v>66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</sheetData>
  <mergeCells count="3">
    <mergeCell ref="A2:AC2"/>
    <mergeCell ref="A1:AC1"/>
    <mergeCell ref="A31:A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zoomScale="85" zoomScaleNormal="85" workbookViewId="0">
      <pane xSplit="3" ySplit="4" topLeftCell="I5" activePane="bottomRight" state="frozen"/>
      <selection pane="topRight"/>
      <selection pane="bottomLeft"/>
      <selection pane="bottomRight" activeCell="Y4" sqref="Y4"/>
    </sheetView>
  </sheetViews>
  <sheetFormatPr defaultRowHeight="15" x14ac:dyDescent="0.25"/>
  <cols>
    <col min="1" max="1" width="11" customWidth="1"/>
    <col min="2" max="2" width="22" customWidth="1"/>
    <col min="3" max="3" width="11" customWidth="1"/>
    <col min="4" max="29" width="9" customWidth="1"/>
  </cols>
  <sheetData>
    <row r="1" spans="1:29" ht="30" customHeight="1" x14ac:dyDescent="0.25">
      <c r="A1" s="19" t="s">
        <v>67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7.9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8" customHeight="1" x14ac:dyDescent="0.25">
      <c r="A3" s="1" t="s">
        <v>2</v>
      </c>
      <c r="B3" s="2" t="s">
        <v>3</v>
      </c>
      <c r="C3" s="3" t="s">
        <v>4</v>
      </c>
    </row>
    <row r="4" spans="1:29" ht="21.95" customHeight="1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</row>
    <row r="5" spans="1:29" ht="18" customHeight="1" x14ac:dyDescent="0.25">
      <c r="A5" s="5" t="s">
        <v>68</v>
      </c>
      <c r="B5" s="6" t="s">
        <v>69</v>
      </c>
      <c r="C5" s="7" t="s">
        <v>68</v>
      </c>
      <c r="D5" s="8">
        <v>5</v>
      </c>
      <c r="E5" s="8">
        <v>15</v>
      </c>
      <c r="F5" s="8">
        <v>15</v>
      </c>
      <c r="G5" s="8">
        <v>15</v>
      </c>
      <c r="H5" s="8">
        <v>10</v>
      </c>
      <c r="I5" s="8">
        <v>10</v>
      </c>
      <c r="J5" s="8">
        <v>5</v>
      </c>
      <c r="K5" s="8">
        <v>5</v>
      </c>
      <c r="L5" s="8">
        <v>5</v>
      </c>
      <c r="M5" s="8">
        <v>5</v>
      </c>
      <c r="N5" s="8">
        <v>5</v>
      </c>
      <c r="O5" s="8">
        <v>5</v>
      </c>
      <c r="P5" s="8">
        <v>5</v>
      </c>
      <c r="Q5" s="8">
        <v>5</v>
      </c>
      <c r="R5" s="8">
        <v>5</v>
      </c>
      <c r="S5" s="8">
        <v>5</v>
      </c>
      <c r="T5" s="8">
        <v>5</v>
      </c>
      <c r="U5" s="8">
        <v>5</v>
      </c>
      <c r="V5" s="8">
        <v>10</v>
      </c>
      <c r="W5" s="8">
        <v>10</v>
      </c>
      <c r="X5" s="8">
        <v>10</v>
      </c>
      <c r="Y5" s="8">
        <v>10</v>
      </c>
      <c r="Z5" s="9"/>
      <c r="AA5" s="9"/>
      <c r="AB5" s="9"/>
      <c r="AC5" s="9"/>
    </row>
    <row r="6" spans="1:29" ht="18" customHeight="1" x14ac:dyDescent="0.25">
      <c r="A6" s="5" t="s">
        <v>70</v>
      </c>
      <c r="B6" s="6" t="s">
        <v>71</v>
      </c>
      <c r="C6" s="7" t="s">
        <v>70</v>
      </c>
      <c r="D6" s="8">
        <v>5</v>
      </c>
      <c r="E6" s="8"/>
      <c r="F6" s="8"/>
      <c r="G6" s="8"/>
      <c r="H6" s="8"/>
      <c r="I6" s="8"/>
      <c r="J6" s="8"/>
      <c r="K6" s="8"/>
      <c r="L6" s="8"/>
      <c r="M6" s="8"/>
      <c r="N6" s="8"/>
      <c r="O6" s="8">
        <v>5</v>
      </c>
      <c r="P6" s="8">
        <v>5</v>
      </c>
      <c r="Q6" s="8">
        <v>5</v>
      </c>
      <c r="R6" s="8">
        <v>5</v>
      </c>
      <c r="S6" s="8">
        <v>5</v>
      </c>
      <c r="T6" s="8">
        <v>5</v>
      </c>
      <c r="U6" s="8">
        <v>5</v>
      </c>
      <c r="V6" s="8">
        <v>5</v>
      </c>
      <c r="W6" s="8">
        <v>5</v>
      </c>
      <c r="X6" s="8">
        <v>8</v>
      </c>
      <c r="Y6" s="8">
        <v>8</v>
      </c>
      <c r="Z6" s="9"/>
      <c r="AA6" s="9"/>
      <c r="AB6" s="9"/>
      <c r="AC6" s="9"/>
    </row>
    <row r="7" spans="1:29" ht="18" customHeight="1" x14ac:dyDescent="0.25">
      <c r="A7" s="5" t="s">
        <v>38</v>
      </c>
      <c r="B7" s="6" t="s">
        <v>39</v>
      </c>
      <c r="C7" s="7" t="s">
        <v>38</v>
      </c>
      <c r="D7" s="8">
        <v>15</v>
      </c>
      <c r="E7" s="8">
        <v>10</v>
      </c>
      <c r="F7" s="8">
        <v>10</v>
      </c>
      <c r="G7" s="8">
        <v>10</v>
      </c>
      <c r="H7" s="8">
        <v>15</v>
      </c>
      <c r="I7" s="8">
        <v>15</v>
      </c>
      <c r="J7" s="8">
        <v>15</v>
      </c>
      <c r="K7" s="8">
        <v>15</v>
      </c>
      <c r="L7" s="8">
        <v>15</v>
      </c>
      <c r="M7" s="8">
        <v>15</v>
      </c>
      <c r="N7" s="8">
        <v>15</v>
      </c>
      <c r="O7" s="8">
        <v>15</v>
      </c>
      <c r="P7" s="8">
        <v>15</v>
      </c>
      <c r="Q7" s="8">
        <v>15</v>
      </c>
      <c r="R7" s="8">
        <v>15</v>
      </c>
      <c r="S7" s="8">
        <v>15</v>
      </c>
      <c r="T7" s="8">
        <v>15</v>
      </c>
      <c r="U7" s="8">
        <v>15</v>
      </c>
      <c r="V7" s="8">
        <v>15</v>
      </c>
      <c r="W7" s="8">
        <v>15</v>
      </c>
      <c r="X7" s="8">
        <v>15</v>
      </c>
      <c r="Y7" s="8">
        <v>5</v>
      </c>
      <c r="Z7" s="9"/>
      <c r="AA7" s="9"/>
      <c r="AB7" s="9"/>
      <c r="AC7" s="9"/>
    </row>
    <row r="8" spans="1:29" ht="18" customHeight="1" x14ac:dyDescent="0.25">
      <c r="A8" s="5" t="s">
        <v>72</v>
      </c>
      <c r="B8" s="6" t="s">
        <v>73</v>
      </c>
      <c r="C8" s="7" t="s">
        <v>72</v>
      </c>
      <c r="D8" s="8">
        <v>10</v>
      </c>
      <c r="E8" s="8">
        <v>5</v>
      </c>
      <c r="F8" s="8">
        <v>5</v>
      </c>
      <c r="G8" s="8">
        <v>5</v>
      </c>
      <c r="H8" s="8">
        <v>5</v>
      </c>
      <c r="I8" s="8">
        <v>5</v>
      </c>
      <c r="J8" s="8">
        <v>5</v>
      </c>
      <c r="K8" s="8">
        <v>5</v>
      </c>
      <c r="L8" s="8">
        <v>5</v>
      </c>
      <c r="M8" s="8">
        <v>5</v>
      </c>
      <c r="N8" s="8">
        <v>5</v>
      </c>
      <c r="O8" s="8">
        <v>10</v>
      </c>
      <c r="P8" s="8">
        <v>10</v>
      </c>
      <c r="Q8" s="8">
        <v>10</v>
      </c>
      <c r="R8" s="8">
        <v>10</v>
      </c>
      <c r="S8" s="8">
        <v>10</v>
      </c>
      <c r="T8" s="8">
        <v>10</v>
      </c>
      <c r="U8" s="8">
        <v>10</v>
      </c>
      <c r="V8" s="8">
        <v>5</v>
      </c>
      <c r="W8" s="8">
        <v>5</v>
      </c>
      <c r="X8" s="8">
        <v>5</v>
      </c>
      <c r="Y8" s="8">
        <v>5</v>
      </c>
      <c r="Z8" s="9"/>
      <c r="AA8" s="9"/>
      <c r="AB8" s="9"/>
      <c r="AC8" s="9"/>
    </row>
    <row r="9" spans="1:29" ht="18" customHeight="1" x14ac:dyDescent="0.25">
      <c r="A9" s="5" t="s">
        <v>74</v>
      </c>
      <c r="B9" s="6" t="s">
        <v>75</v>
      </c>
      <c r="C9" s="7" t="s">
        <v>74</v>
      </c>
      <c r="D9" s="8">
        <v>5</v>
      </c>
      <c r="E9" s="8">
        <v>5</v>
      </c>
      <c r="F9" s="8">
        <v>5</v>
      </c>
      <c r="G9" s="8">
        <v>5</v>
      </c>
      <c r="H9" s="8">
        <v>5</v>
      </c>
      <c r="I9" s="8">
        <v>5</v>
      </c>
      <c r="J9" s="8">
        <v>5</v>
      </c>
      <c r="K9" s="8">
        <v>5</v>
      </c>
      <c r="L9" s="8">
        <v>5</v>
      </c>
      <c r="M9" s="8">
        <v>5</v>
      </c>
      <c r="N9" s="8">
        <v>5</v>
      </c>
      <c r="O9" s="8">
        <v>5</v>
      </c>
      <c r="P9" s="8">
        <v>5</v>
      </c>
      <c r="Q9" s="8">
        <v>5</v>
      </c>
      <c r="R9" s="8">
        <v>5</v>
      </c>
      <c r="S9" s="8">
        <v>5</v>
      </c>
      <c r="T9" s="8">
        <v>5</v>
      </c>
      <c r="U9" s="8">
        <v>5</v>
      </c>
      <c r="V9" s="8">
        <v>5</v>
      </c>
      <c r="W9" s="8">
        <v>5</v>
      </c>
      <c r="X9" s="8">
        <v>5</v>
      </c>
      <c r="Y9" s="8"/>
      <c r="Z9" s="9"/>
      <c r="AA9" s="9"/>
      <c r="AB9" s="9"/>
      <c r="AC9" s="9"/>
    </row>
    <row r="10" spans="1:29" ht="18" customHeight="1" x14ac:dyDescent="0.25">
      <c r="A10" s="5" t="s">
        <v>76</v>
      </c>
      <c r="B10" s="6" t="s">
        <v>77</v>
      </c>
      <c r="C10" s="7" t="s">
        <v>76</v>
      </c>
      <c r="D10" s="8">
        <v>15</v>
      </c>
      <c r="E10" s="8">
        <v>20</v>
      </c>
      <c r="F10" s="8">
        <v>20</v>
      </c>
      <c r="G10" s="8">
        <v>20</v>
      </c>
      <c r="H10" s="8">
        <v>20</v>
      </c>
      <c r="I10" s="8">
        <v>20</v>
      </c>
      <c r="J10" s="8">
        <v>20</v>
      </c>
      <c r="K10" s="8">
        <v>20</v>
      </c>
      <c r="L10" s="8">
        <v>20</v>
      </c>
      <c r="M10" s="8">
        <v>20</v>
      </c>
      <c r="N10" s="8">
        <v>20</v>
      </c>
      <c r="O10" s="8">
        <v>15</v>
      </c>
      <c r="P10" s="8">
        <v>15</v>
      </c>
      <c r="Q10" s="8">
        <v>15</v>
      </c>
      <c r="R10" s="8">
        <v>15</v>
      </c>
      <c r="S10" s="8">
        <v>10</v>
      </c>
      <c r="T10" s="8">
        <v>10</v>
      </c>
      <c r="U10" s="8">
        <v>10</v>
      </c>
      <c r="V10" s="8">
        <v>10</v>
      </c>
      <c r="W10" s="8">
        <v>10</v>
      </c>
      <c r="X10" s="8">
        <v>10</v>
      </c>
      <c r="Y10" s="8">
        <v>10</v>
      </c>
      <c r="Z10" s="9"/>
      <c r="AA10" s="9"/>
      <c r="AB10" s="9"/>
      <c r="AC10" s="9"/>
    </row>
    <row r="11" spans="1:29" ht="18" customHeight="1" x14ac:dyDescent="0.25">
      <c r="A11" s="5" t="s">
        <v>78</v>
      </c>
      <c r="B11" s="6" t="s">
        <v>79</v>
      </c>
      <c r="C11" s="7" t="s">
        <v>78</v>
      </c>
      <c r="D11" s="8">
        <v>5</v>
      </c>
      <c r="E11" s="8">
        <v>5</v>
      </c>
      <c r="F11" s="8">
        <v>5</v>
      </c>
      <c r="G11" s="8">
        <v>5</v>
      </c>
      <c r="H11" s="8">
        <v>5</v>
      </c>
      <c r="I11" s="8">
        <v>5</v>
      </c>
      <c r="J11" s="8">
        <v>5</v>
      </c>
      <c r="K11" s="8">
        <v>5</v>
      </c>
      <c r="L11" s="8">
        <v>5</v>
      </c>
      <c r="M11" s="8">
        <v>5</v>
      </c>
      <c r="N11" s="8">
        <v>5</v>
      </c>
      <c r="O11" s="8">
        <v>5</v>
      </c>
      <c r="P11" s="8">
        <v>5</v>
      </c>
      <c r="Q11" s="8">
        <v>5</v>
      </c>
      <c r="R11" s="8">
        <v>5</v>
      </c>
      <c r="S11" s="8">
        <v>5</v>
      </c>
      <c r="T11" s="8">
        <v>5</v>
      </c>
      <c r="U11" s="8">
        <v>5</v>
      </c>
      <c r="V11" s="8">
        <v>10</v>
      </c>
      <c r="W11" s="8">
        <v>10</v>
      </c>
      <c r="X11" s="8">
        <v>12</v>
      </c>
      <c r="Y11" s="8">
        <v>15</v>
      </c>
      <c r="Z11" s="9"/>
      <c r="AA11" s="9"/>
      <c r="AB11" s="9"/>
      <c r="AC11" s="9"/>
    </row>
    <row r="12" spans="1:29" ht="18" customHeight="1" x14ac:dyDescent="0.25">
      <c r="A12" s="5" t="s">
        <v>51</v>
      </c>
      <c r="B12" s="6" t="s">
        <v>52</v>
      </c>
      <c r="C12" s="7" t="s">
        <v>51</v>
      </c>
      <c r="D12" s="8">
        <v>10</v>
      </c>
      <c r="E12" s="8">
        <v>15</v>
      </c>
      <c r="F12" s="8">
        <v>15</v>
      </c>
      <c r="G12" s="8">
        <v>15</v>
      </c>
      <c r="H12" s="8">
        <v>15</v>
      </c>
      <c r="I12" s="8">
        <v>15</v>
      </c>
      <c r="J12" s="8">
        <v>15</v>
      </c>
      <c r="K12" s="8">
        <v>15</v>
      </c>
      <c r="L12" s="8">
        <v>15</v>
      </c>
      <c r="M12" s="8">
        <v>15</v>
      </c>
      <c r="N12" s="8">
        <v>15</v>
      </c>
      <c r="O12" s="8">
        <v>10</v>
      </c>
      <c r="P12" s="8">
        <v>10</v>
      </c>
      <c r="Q12" s="8">
        <v>10</v>
      </c>
      <c r="R12" s="8">
        <v>10</v>
      </c>
      <c r="S12" s="8">
        <v>10</v>
      </c>
      <c r="T12" s="8">
        <v>10</v>
      </c>
      <c r="U12" s="8">
        <v>10</v>
      </c>
      <c r="V12" s="8">
        <v>10</v>
      </c>
      <c r="W12" s="8">
        <v>10</v>
      </c>
      <c r="X12" s="8">
        <v>10</v>
      </c>
      <c r="Y12" s="8">
        <v>10</v>
      </c>
      <c r="Z12" s="9"/>
      <c r="AA12" s="9"/>
      <c r="AB12" s="9"/>
      <c r="AC12" s="9"/>
    </row>
    <row r="13" spans="1:29" ht="18" customHeight="1" x14ac:dyDescent="0.25">
      <c r="A13" s="5" t="s">
        <v>60</v>
      </c>
      <c r="B13" s="6" t="s">
        <v>61</v>
      </c>
      <c r="C13" s="7" t="s">
        <v>60</v>
      </c>
      <c r="D13" s="8">
        <v>10</v>
      </c>
      <c r="E13" s="8"/>
      <c r="F13" s="8"/>
      <c r="G13" s="8"/>
      <c r="H13" s="8"/>
      <c r="I13" s="8"/>
      <c r="J13" s="8"/>
      <c r="K13" s="8">
        <v>10</v>
      </c>
      <c r="L13" s="8">
        <v>10</v>
      </c>
      <c r="M13" s="8">
        <v>10</v>
      </c>
      <c r="N13" s="8">
        <v>10</v>
      </c>
      <c r="O13" s="8">
        <v>10</v>
      </c>
      <c r="P13" s="8">
        <v>10</v>
      </c>
      <c r="Q13" s="8">
        <v>10</v>
      </c>
      <c r="R13" s="8">
        <v>10</v>
      </c>
      <c r="S13" s="8">
        <v>10</v>
      </c>
      <c r="T13" s="8">
        <v>10</v>
      </c>
      <c r="U13" s="8">
        <v>10</v>
      </c>
      <c r="V13" s="8">
        <v>10</v>
      </c>
      <c r="W13" s="8">
        <v>10</v>
      </c>
      <c r="X13" s="8">
        <v>15</v>
      </c>
      <c r="Y13" s="8">
        <v>15</v>
      </c>
      <c r="Z13" s="9"/>
      <c r="AA13" s="9"/>
      <c r="AB13" s="9"/>
      <c r="AC13" s="9"/>
    </row>
    <row r="14" spans="1:29" ht="18" customHeight="1" x14ac:dyDescent="0.25">
      <c r="A14" s="5" t="s">
        <v>80</v>
      </c>
      <c r="B14" s="6" t="s">
        <v>81</v>
      </c>
      <c r="C14" s="7" t="s">
        <v>82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5</v>
      </c>
      <c r="T14" s="8">
        <v>5</v>
      </c>
      <c r="U14" s="8">
        <v>5</v>
      </c>
      <c r="V14" s="8">
        <v>10</v>
      </c>
      <c r="W14" s="8">
        <v>10</v>
      </c>
      <c r="X14" s="8">
        <v>10</v>
      </c>
      <c r="Y14" s="8">
        <v>15</v>
      </c>
      <c r="Z14" s="9"/>
      <c r="AA14" s="9"/>
      <c r="AB14" s="9"/>
      <c r="AC14" s="9"/>
    </row>
    <row r="15" spans="1:29" ht="18" customHeight="1" x14ac:dyDescent="0.25">
      <c r="A15" s="6" t="s">
        <v>137</v>
      </c>
      <c r="B15" s="6" t="s">
        <v>138</v>
      </c>
      <c r="C15" s="7" t="s">
        <v>137</v>
      </c>
      <c r="D15" s="8">
        <v>10</v>
      </c>
      <c r="E15" s="8">
        <v>10</v>
      </c>
      <c r="F15" s="8">
        <v>10</v>
      </c>
      <c r="G15" s="8">
        <v>10</v>
      </c>
      <c r="H15" s="8">
        <v>10</v>
      </c>
      <c r="I15" s="8">
        <v>10</v>
      </c>
      <c r="J15" s="8">
        <v>10</v>
      </c>
      <c r="K15" s="8">
        <v>10</v>
      </c>
      <c r="L15" s="8">
        <v>10</v>
      </c>
      <c r="M15" s="8">
        <v>10</v>
      </c>
      <c r="N15" s="8">
        <v>10</v>
      </c>
      <c r="O15" s="8">
        <v>10</v>
      </c>
      <c r="P15" s="8">
        <v>10</v>
      </c>
      <c r="Q15" s="8">
        <v>10</v>
      </c>
      <c r="R15" s="8">
        <v>10</v>
      </c>
      <c r="S15" s="8">
        <v>10</v>
      </c>
      <c r="T15" s="10">
        <v>10</v>
      </c>
      <c r="U15" s="10">
        <v>10</v>
      </c>
      <c r="V15" s="10">
        <v>10</v>
      </c>
      <c r="W15" s="10">
        <v>10</v>
      </c>
      <c r="X15" s="10"/>
      <c r="Y15" s="10"/>
      <c r="Z15" s="9"/>
      <c r="AA15" s="9"/>
      <c r="AB15" s="9"/>
      <c r="AC15" s="9"/>
    </row>
    <row r="16" spans="1:29" ht="18" customHeight="1" x14ac:dyDescent="0.25">
      <c r="A16" s="6" t="s">
        <v>131</v>
      </c>
      <c r="B16" s="6" t="s">
        <v>133</v>
      </c>
      <c r="C16" s="7" t="s">
        <v>131</v>
      </c>
      <c r="D16" s="10">
        <v>10</v>
      </c>
      <c r="E16" s="8"/>
      <c r="F16" s="8"/>
      <c r="G16" s="8">
        <v>5</v>
      </c>
      <c r="H16" s="8">
        <v>5</v>
      </c>
      <c r="I16" s="8">
        <v>5</v>
      </c>
      <c r="J16" s="8">
        <v>5</v>
      </c>
      <c r="K16" s="8">
        <v>5</v>
      </c>
      <c r="L16" s="8">
        <v>5</v>
      </c>
      <c r="M16" s="8">
        <v>5</v>
      </c>
      <c r="N16" s="8">
        <v>5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T16" s="10">
        <v>10</v>
      </c>
      <c r="U16" s="10">
        <v>10</v>
      </c>
      <c r="V16" s="10"/>
      <c r="W16" s="10"/>
      <c r="X16" s="10"/>
      <c r="Y16" s="10"/>
      <c r="Z16" s="9"/>
      <c r="AA16" s="9"/>
      <c r="AB16" s="9"/>
      <c r="AC16" s="9"/>
    </row>
    <row r="17" spans="1:29" ht="18" customHeight="1" x14ac:dyDescent="0.25">
      <c r="A17" s="6" t="s">
        <v>47</v>
      </c>
      <c r="B17" s="6" t="s">
        <v>125</v>
      </c>
      <c r="C17" s="7" t="s">
        <v>47</v>
      </c>
      <c r="D17" s="10"/>
      <c r="E17" s="10">
        <v>15</v>
      </c>
      <c r="F17" s="10">
        <v>15</v>
      </c>
      <c r="G17" s="8">
        <v>10</v>
      </c>
      <c r="H17" s="8">
        <v>10</v>
      </c>
      <c r="I17" s="8">
        <v>10</v>
      </c>
      <c r="J17" s="8">
        <v>10</v>
      </c>
      <c r="K17" s="8"/>
      <c r="L17" s="8"/>
      <c r="M17" s="8"/>
      <c r="N17" s="8"/>
      <c r="O17" s="8"/>
      <c r="P17" s="8"/>
      <c r="Q17" s="8"/>
      <c r="R17" s="8"/>
      <c r="S17" s="8"/>
      <c r="T17" s="10"/>
      <c r="U17" s="10"/>
      <c r="V17" s="10"/>
      <c r="W17" s="10"/>
      <c r="X17" s="10"/>
      <c r="Y17" s="10"/>
      <c r="Z17" s="9"/>
      <c r="AA17" s="9"/>
      <c r="AB17" s="9"/>
      <c r="AC17" s="9"/>
    </row>
    <row r="18" spans="1:29" ht="18" customHeight="1" x14ac:dyDescent="0.25">
      <c r="A18" s="6" t="s">
        <v>139</v>
      </c>
      <c r="B18" s="6" t="s">
        <v>140</v>
      </c>
      <c r="C18" s="7" t="s">
        <v>139</v>
      </c>
      <c r="D18" s="10"/>
      <c r="E18" s="10"/>
      <c r="F18" s="10"/>
      <c r="G18" s="10"/>
      <c r="H18" s="10"/>
      <c r="I18" s="10"/>
      <c r="J18" s="8">
        <v>5</v>
      </c>
      <c r="K18" s="8">
        <v>5</v>
      </c>
      <c r="L18" s="8">
        <v>5</v>
      </c>
      <c r="M18" s="8">
        <v>5</v>
      </c>
      <c r="N18" s="8">
        <v>5</v>
      </c>
      <c r="O18" s="8"/>
      <c r="P18" s="8"/>
      <c r="Q18" s="8"/>
      <c r="R18" s="8"/>
      <c r="S18" s="8"/>
      <c r="T18" s="10"/>
      <c r="U18" s="10"/>
      <c r="V18" s="10"/>
      <c r="W18" s="10"/>
      <c r="X18" s="10"/>
      <c r="Y18" s="10"/>
      <c r="Z18" s="9"/>
      <c r="AA18" s="9"/>
      <c r="AB18" s="9"/>
      <c r="AC18" s="9"/>
    </row>
    <row r="19" spans="1:29" ht="18" customHeight="1" x14ac:dyDescent="0.25">
      <c r="A19" s="6" t="s">
        <v>142</v>
      </c>
      <c r="B19" s="6" t="s">
        <v>141</v>
      </c>
      <c r="C19" s="7" t="s">
        <v>142</v>
      </c>
      <c r="D19" s="10"/>
      <c r="E19" s="10"/>
      <c r="F19" s="10"/>
      <c r="G19" s="10"/>
      <c r="H19" s="10"/>
      <c r="I19" s="10"/>
      <c r="J19" s="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7</v>
      </c>
      <c r="Z19" s="9"/>
      <c r="AA19" s="9"/>
      <c r="AB19" s="9"/>
      <c r="AC19" s="9"/>
    </row>
    <row r="20" spans="1:29" ht="20.100000000000001" customHeight="1" x14ac:dyDescent="0.25">
      <c r="A20" s="11" t="s">
        <v>64</v>
      </c>
      <c r="B20" s="12" t="s">
        <v>65</v>
      </c>
      <c r="C20" s="13"/>
      <c r="D20" s="14">
        <f t="shared" ref="D20:AC20" si="0">IFERROR(SUM(D5:D19),"")</f>
        <v>100</v>
      </c>
      <c r="E20" s="14">
        <f t="shared" si="0"/>
        <v>100</v>
      </c>
      <c r="F20" s="14">
        <f t="shared" si="0"/>
        <v>100</v>
      </c>
      <c r="G20" s="14">
        <f t="shared" si="0"/>
        <v>100</v>
      </c>
      <c r="H20" s="14">
        <f t="shared" si="0"/>
        <v>100</v>
      </c>
      <c r="I20" s="14">
        <f t="shared" si="0"/>
        <v>100</v>
      </c>
      <c r="J20" s="14">
        <f t="shared" si="0"/>
        <v>100</v>
      </c>
      <c r="K20" s="14">
        <f t="shared" si="0"/>
        <v>100</v>
      </c>
      <c r="L20" s="14">
        <f t="shared" si="0"/>
        <v>100</v>
      </c>
      <c r="M20" s="14">
        <f t="shared" si="0"/>
        <v>100</v>
      </c>
      <c r="N20" s="14">
        <f t="shared" si="0"/>
        <v>100</v>
      </c>
      <c r="O20" s="14">
        <f t="shared" si="0"/>
        <v>100</v>
      </c>
      <c r="P20" s="14">
        <f t="shared" si="0"/>
        <v>100</v>
      </c>
      <c r="Q20" s="14">
        <f t="shared" si="0"/>
        <v>100</v>
      </c>
      <c r="R20" s="14">
        <f t="shared" si="0"/>
        <v>100</v>
      </c>
      <c r="S20" s="14">
        <f t="shared" si="0"/>
        <v>100</v>
      </c>
      <c r="T20" s="14">
        <f t="shared" si="0"/>
        <v>100</v>
      </c>
      <c r="U20" s="14">
        <f t="shared" si="0"/>
        <v>100</v>
      </c>
      <c r="V20" s="14">
        <f t="shared" si="0"/>
        <v>100</v>
      </c>
      <c r="W20" s="14">
        <f t="shared" si="0"/>
        <v>100</v>
      </c>
      <c r="X20" s="14">
        <f t="shared" ref="X20:Y20" si="1">IFERROR(SUM(X5:X19),"")</f>
        <v>100</v>
      </c>
      <c r="Y20" s="14">
        <f t="shared" si="1"/>
        <v>100</v>
      </c>
      <c r="Z20" s="14">
        <f t="shared" si="0"/>
        <v>0</v>
      </c>
      <c r="AA20" s="14">
        <f t="shared" si="0"/>
        <v>0</v>
      </c>
      <c r="AB20" s="14">
        <f t="shared" si="0"/>
        <v>0</v>
      </c>
      <c r="AC20" s="14">
        <f t="shared" si="0"/>
        <v>0</v>
      </c>
    </row>
    <row r="21" spans="1:29" ht="20.100000000000001" customHeight="1" x14ac:dyDescent="0.25">
      <c r="A21" s="20" t="s">
        <v>66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</sheetData>
  <mergeCells count="3">
    <mergeCell ref="A2:AC2"/>
    <mergeCell ref="A1:AC1"/>
    <mergeCell ref="A21:A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0"/>
  <sheetViews>
    <sheetView showGridLines="0" topLeftCell="A20" workbookViewId="0"/>
  </sheetViews>
  <sheetFormatPr defaultRowHeight="15" x14ac:dyDescent="0.25"/>
  <cols>
    <col min="1" max="1" width="3" customWidth="1"/>
    <col min="2" max="2" width="28" customWidth="1"/>
    <col min="3" max="3" width="55" customWidth="1"/>
  </cols>
  <sheetData>
    <row r="1" spans="2:3" ht="32.1" customHeight="1" x14ac:dyDescent="0.25">
      <c r="B1" s="19" t="s">
        <v>83</v>
      </c>
      <c r="C1" s="18"/>
    </row>
    <row r="2" spans="2:3" ht="18" customHeight="1" x14ac:dyDescent="0.25"/>
    <row r="3" spans="2:3" ht="18" customHeight="1" x14ac:dyDescent="0.25"/>
    <row r="4" spans="2:3" ht="18" customHeight="1" x14ac:dyDescent="0.25">
      <c r="B4" s="15" t="s">
        <v>84</v>
      </c>
    </row>
    <row r="5" spans="2:3" ht="18" customHeight="1" x14ac:dyDescent="0.25">
      <c r="B5" s="15" t="s">
        <v>85</v>
      </c>
    </row>
    <row r="6" spans="2:3" ht="18" customHeight="1" x14ac:dyDescent="0.25"/>
    <row r="7" spans="2:3" ht="18" customHeight="1" x14ac:dyDescent="0.25"/>
    <row r="8" spans="2:3" ht="18" customHeight="1" x14ac:dyDescent="0.25">
      <c r="B8" s="15" t="s">
        <v>86</v>
      </c>
      <c r="C8" s="16" t="s">
        <v>87</v>
      </c>
    </row>
    <row r="9" spans="2:3" ht="18" customHeight="1" x14ac:dyDescent="0.25">
      <c r="B9" s="15" t="s">
        <v>88</v>
      </c>
      <c r="C9" s="16" t="s">
        <v>89</v>
      </c>
    </row>
    <row r="10" spans="2:3" ht="18" customHeight="1" x14ac:dyDescent="0.25">
      <c r="B10" s="15" t="s">
        <v>90</v>
      </c>
      <c r="C10" s="16" t="s">
        <v>91</v>
      </c>
    </row>
    <row r="11" spans="2:3" ht="18" customHeight="1" x14ac:dyDescent="0.25">
      <c r="B11" s="15" t="s">
        <v>92</v>
      </c>
      <c r="C11" s="16" t="s">
        <v>93</v>
      </c>
    </row>
    <row r="12" spans="2:3" ht="18" customHeight="1" x14ac:dyDescent="0.25">
      <c r="B12" s="15" t="s">
        <v>94</v>
      </c>
      <c r="C12" s="16" t="s">
        <v>95</v>
      </c>
    </row>
    <row r="13" spans="2:3" ht="18" customHeight="1" x14ac:dyDescent="0.25">
      <c r="B13" s="15" t="s">
        <v>96</v>
      </c>
      <c r="C13" s="16" t="s">
        <v>97</v>
      </c>
    </row>
    <row r="14" spans="2:3" ht="18" customHeight="1" x14ac:dyDescent="0.25">
      <c r="B14" s="15" t="s">
        <v>98</v>
      </c>
      <c r="C14" s="16" t="s">
        <v>99</v>
      </c>
    </row>
    <row r="15" spans="2:3" ht="18" customHeight="1" x14ac:dyDescent="0.25"/>
    <row r="16" spans="2:3" ht="18" customHeight="1" x14ac:dyDescent="0.25"/>
    <row r="17" spans="2:3" ht="18" customHeight="1" x14ac:dyDescent="0.25">
      <c r="B17" s="15" t="s">
        <v>100</v>
      </c>
      <c r="C17" s="16" t="s">
        <v>101</v>
      </c>
    </row>
    <row r="18" spans="2:3" ht="18" customHeight="1" x14ac:dyDescent="0.25">
      <c r="B18" s="15" t="s">
        <v>102</v>
      </c>
      <c r="C18" s="16" t="s">
        <v>103</v>
      </c>
    </row>
    <row r="19" spans="2:3" ht="18" customHeight="1" x14ac:dyDescent="0.25">
      <c r="B19" s="15" t="s">
        <v>104</v>
      </c>
      <c r="C19" s="16" t="s">
        <v>105</v>
      </c>
    </row>
    <row r="20" spans="2:3" ht="18" customHeight="1" x14ac:dyDescent="0.25">
      <c r="B20" s="15" t="s">
        <v>106</v>
      </c>
      <c r="C20" s="16" t="s">
        <v>107</v>
      </c>
    </row>
    <row r="21" spans="2:3" ht="18" customHeight="1" x14ac:dyDescent="0.25"/>
    <row r="22" spans="2:3" ht="18" customHeight="1" x14ac:dyDescent="0.25"/>
    <row r="23" spans="2:3" ht="18" customHeight="1" x14ac:dyDescent="0.25">
      <c r="B23" s="15" t="s">
        <v>44</v>
      </c>
      <c r="C23" s="16" t="s">
        <v>108</v>
      </c>
    </row>
    <row r="24" spans="2:3" ht="18" customHeight="1" x14ac:dyDescent="0.25">
      <c r="B24" s="15" t="s">
        <v>55</v>
      </c>
      <c r="C24" s="16" t="s">
        <v>109</v>
      </c>
    </row>
    <row r="25" spans="2:3" ht="18" customHeight="1" x14ac:dyDescent="0.25">
      <c r="B25" s="15" t="s">
        <v>80</v>
      </c>
      <c r="C25" s="16" t="s">
        <v>110</v>
      </c>
    </row>
    <row r="26" spans="2:3" ht="18" customHeight="1" x14ac:dyDescent="0.25"/>
    <row r="27" spans="2:3" ht="18" customHeight="1" x14ac:dyDescent="0.25"/>
    <row r="28" spans="2:3" ht="18" customHeight="1" x14ac:dyDescent="0.25">
      <c r="B28" s="15" t="s">
        <v>111</v>
      </c>
      <c r="C28" s="16" t="s">
        <v>112</v>
      </c>
    </row>
    <row r="29" spans="2:3" ht="18" customHeight="1" x14ac:dyDescent="0.25">
      <c r="B29" s="15" t="s">
        <v>113</v>
      </c>
      <c r="C29" s="16" t="s">
        <v>114</v>
      </c>
    </row>
    <row r="30" spans="2:3" ht="18" customHeight="1" x14ac:dyDescent="0.25">
      <c r="B30" s="15" t="s">
        <v>115</v>
      </c>
      <c r="C30" s="16" t="s">
        <v>116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Ações</vt:lpstr>
      <vt:lpstr>Dividendos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Foglieni</cp:lastModifiedBy>
  <dcterms:created xsi:type="dcterms:W3CDTF">2026-02-23T19:40:33Z</dcterms:created>
  <dcterms:modified xsi:type="dcterms:W3CDTF">2026-03-04T15:09:51Z</dcterms:modified>
</cp:coreProperties>
</file>